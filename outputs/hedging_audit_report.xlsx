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Settlement" sheetId="3" state="visible" r:id="rId5"/>
    <sheet name="Collar Pricing" sheetId="4" state="visible" r:id="rId6"/>
    <sheet name="Stress Test" sheetId="5" state="visible" r:id="rId7"/>
    <sheet name="Vol Sensitivit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P5" authorId="0">
      <text>
        <r>
          <rPr>
            <sz val="10"/>
            <rFont val="Arial"/>
            <family val="2"/>
          </rPr>
          <t xml:space="preserve">Not stated in my Round 1 memo.</t>
        </r>
      </text>
    </comment>
    <comment ref="P10" authorId="0">
      <text>
        <r>
          <rPr>
            <sz val="10"/>
            <rFont val="Arial"/>
            <family val="2"/>
          </rPr>
          <t xml:space="preserve">Not stated in my Round 6 memo.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Q5" authorId="0">
      <text>
        <r>
          <rPr>
            <sz val="10"/>
            <rFont val="Arial"/>
            <family val="2"/>
          </rPr>
          <t xml:space="preserve">Solved in Python (scipy brentq, src/pricing.py) at the volatility in Assumptions. Column R reprices it in Excel so you can check it.</t>
        </r>
      </text>
    </comment>
    <comment ref="Q6" authorId="0">
      <text>
        <r>
          <rPr>
            <sz val="10"/>
            <rFont val="Arial"/>
            <family val="2"/>
          </rPr>
          <t xml:space="preserve">Solved in Python (scipy brentq, src/pricing.py) at the volatility in Assumptions. Column R reprices it in Excel so you can check it.</t>
        </r>
      </text>
    </comment>
    <comment ref="Q7" authorId="0">
      <text>
        <r>
          <rPr>
            <sz val="10"/>
            <rFont val="Arial"/>
            <family val="2"/>
          </rPr>
          <t xml:space="preserve">Solved in Python (scipy brentq, src/pricing.py) at the volatility in Assumptions. Column R reprices it in Excel so you can check it.</t>
        </r>
      </text>
    </comment>
  </commentList>
</comments>
</file>

<file path=xl/sharedStrings.xml><?xml version="1.0" encoding="utf-8"?>
<sst xmlns="http://schemas.openxmlformats.org/spreadsheetml/2006/main" count="171" uniqueCount="139">
  <si>
    <t xml:space="preserve">Commodity Hedging Simulation: audit report</t>
  </si>
  <si>
    <t xml:space="preserve">Karthik Bommisetty | UIC MBA Finance + MS Business Analytics | Fall 2025 hedging game, 7 settled rounds</t>
  </si>
  <si>
    <t xml:space="preserve">What happened in the game</t>
  </si>
  <si>
    <t xml:space="preserve">Value</t>
  </si>
  <si>
    <t xml:space="preserve">Source</t>
  </si>
  <si>
    <t xml:space="preserve">Total revenue, hedged</t>
  </si>
  <si>
    <t xml:space="preserve">Settlement</t>
  </si>
  <si>
    <t xml:space="preserve">Total revenue, unhedged</t>
  </si>
  <si>
    <t xml:space="preserve">Cost of hedging</t>
  </si>
  <si>
    <t xml:space="preserve">Cost as % of unhedged revenue</t>
  </si>
  <si>
    <t xml:space="preserve">Revenue volatility reduction</t>
  </si>
  <si>
    <t xml:space="preserve">Rounds below bankruptcy line, hedged / unhedged</t>
  </si>
  <si>
    <t xml:space="preserve">Rounds clearing the investment hurdle, hedged</t>
  </si>
  <si>
    <t xml:space="preserve">All rounds match my memos</t>
  </si>
  <si>
    <t xml:space="preserve">What the stress test says (before each trade)</t>
  </si>
  <si>
    <t xml:space="preserve">Volatility per round, estimated from game prices</t>
  </si>
  <si>
    <t xml:space="preserve">Assumptions</t>
  </si>
  <si>
    <t xml:space="preserve">Average 95% VaR reduction across rounds</t>
  </si>
  <si>
    <t xml:space="preserve">Stress Test</t>
  </si>
  <si>
    <t xml:space="preserve">Avg P(bankruptcy), unhedged</t>
  </si>
  <si>
    <t xml:space="preserve">Stress Test, rounds with a stated line</t>
  </si>
  <si>
    <t xml:space="preserve">Avg P(bankruptcy), hedged</t>
  </si>
  <si>
    <t xml:space="preserve">Avg P(clear hurdle), unhedged</t>
  </si>
  <si>
    <t xml:space="preserve">Stress Test, rounds with a stated hurdle</t>
  </si>
  <si>
    <t xml:space="preserve">Avg P(clear hurdle), hedged</t>
  </si>
  <si>
    <t xml:space="preserve">Game's edge on my 3 collars vs market pricing</t>
  </si>
  <si>
    <t xml:space="preserve">Collar Pricing</t>
  </si>
  <si>
    <t xml:space="preserve">Takeaways</t>
  </si>
  <si>
    <t xml:space="preserve">At the volatility this game actually had, staying unhedged carried a real chance of hitting the bankruptcy line. My hedges took that close to zero.</t>
  </si>
  <si>
    <t xml:space="preserve">The price was the investment: in Rounds 2 to 5 the hedges lowered the chance of funding the project. Only Round 7, with strikes near the hurdle price, raised it.</t>
  </si>
  <si>
    <t xml:space="preserve">Strike placement drove the outcome more than hedge ratio. Set the collar call at or above the hurdle price, so the upside given away is upside the firm doesn't need.</t>
  </si>
  <si>
    <t xml:space="preserve">Colors: blue = input, black = formula, green = link to another sheet, yellow = key assumption.</t>
  </si>
  <si>
    <t xml:space="preserve">Blue = input you can change. Black = formula. Yellow = key assumption.</t>
  </si>
  <si>
    <t xml:space="preserve">Item</t>
  </si>
  <si>
    <t xml:space="preserve">Notes</t>
  </si>
  <si>
    <t xml:space="preserve">Units produced per round</t>
  </si>
  <si>
    <t xml:space="preserve">Game setup: producer sells 100,000 units each round.</t>
  </si>
  <si>
    <t xml:space="preserve">Volatility per round (σ)</t>
  </si>
  <si>
    <t xml:space="preserve">Std dev of round-to-round log changes in the game's settled spot (Settlement col R). Feeds Collar Pricing.</t>
  </si>
  <si>
    <t xml:space="preserve">Risk-free rate (annual)</t>
  </si>
  <si>
    <t xml:space="preserve">Assumption, used only to discount option premiums.</t>
  </si>
  <si>
    <t xml:space="preserve">Pricing horizon per round (years)</t>
  </si>
  <si>
    <t xml:space="preserve">One round treated as one month for discounting. σ above is already per round.</t>
  </si>
  <si>
    <t xml:space="preserve">Annualized σ for Black-76</t>
  </si>
  <si>
    <t xml:space="preserve">Per-round σ scaled so σ·√T equals one round of volatility.</t>
  </si>
  <si>
    <t xml:space="preserve">Monte Carlo scenarios per round</t>
  </si>
  <si>
    <t xml:space="preserve">Run in Python (src/stress_test.py). Change there and re-run.</t>
  </si>
  <si>
    <t xml:space="preserve">Random seed</t>
  </si>
  <si>
    <t xml:space="preserve">Fixed so every run reproduces the same scenarios.</t>
  </si>
  <si>
    <t xml:space="preserve">Forward price used for each round</t>
  </si>
  <si>
    <t xml:space="preserve">Swap price</t>
  </si>
  <si>
    <t xml:space="preserve">The round's swap price is taken as the market's forward when I traded.</t>
  </si>
  <si>
    <t xml:space="preserve">Source for all positions and settled prices: my weekly decision memos, Oct 13 - Dec 2, 2025 (Google Drive, original version history).</t>
  </si>
  <si>
    <t xml:space="preserve">Round-by-round settlement</t>
  </si>
  <si>
    <t xml:space="preserve">Recomputed from the memos with live formulas. Revenue = units x spot + swap P&amp;L + collar P&amp;L.</t>
  </si>
  <si>
    <t xml:space="preserve">Round</t>
  </si>
  <si>
    <t xml:space="preserve">Settled spot</t>
  </si>
  <si>
    <t xml:space="preserve">Swap qty</t>
  </si>
  <si>
    <t xml:space="preserve">Collar qty</t>
  </si>
  <si>
    <t xml:space="preserve">Put strike</t>
  </si>
  <si>
    <t xml:space="preserve">Call strike</t>
  </si>
  <si>
    <t xml:space="preserve">Float qty</t>
  </si>
  <si>
    <t xml:space="preserve">Unhedged revenue</t>
  </si>
  <si>
    <t xml:space="preserve">Swap P&amp;L</t>
  </si>
  <si>
    <t xml:space="preserve">Collar P&amp;L</t>
  </si>
  <si>
    <t xml:space="preserve">Hedged revenue</t>
  </si>
  <si>
    <t xml:space="preserve">Hedge P&amp;L</t>
  </si>
  <si>
    <t xml:space="preserve">Memo revenue</t>
  </si>
  <si>
    <t xml:space="preserve">Matches memo</t>
  </si>
  <si>
    <t xml:space="preserve">Bankruptcy line</t>
  </si>
  <si>
    <t xml:space="preserve">Inv. hurdle</t>
  </si>
  <si>
    <t xml:space="preserve">Log change in spot</t>
  </si>
  <si>
    <t xml:space="preserve">Total</t>
  </si>
  <si>
    <t xml:space="preserve">Cost of hedging (unhedged - hedged)</t>
  </si>
  <si>
    <t xml:space="preserve">Std dev of revenue, hedged</t>
  </si>
  <si>
    <t xml:space="preserve">Std dev of revenue, unhedged</t>
  </si>
  <si>
    <t xml:space="preserve">Volatility reduction from hedging</t>
  </si>
  <si>
    <t xml:space="preserve">Rounds below bankruptcy line, hedged</t>
  </si>
  <si>
    <t xml:space="preserve">Rounds below bankruptcy line, unhedged</t>
  </si>
  <si>
    <t xml:space="preserve">Rounds clearing the hurdle, hedged</t>
  </si>
  <si>
    <t xml:space="preserve">Black-76 pricing of each collar I traded</t>
  </si>
  <si>
    <t xml:space="preserve">The game settled every collar at zero cost. These formulas price each leg at market and show the zero-cost call strike.</t>
  </si>
  <si>
    <t xml:space="preserve">Forward F</t>
  </si>
  <si>
    <t xml:space="preserve">Game call strike</t>
  </si>
  <si>
    <t xml:space="preserve">σ (annual)</t>
  </si>
  <si>
    <t xml:space="preserve">r</t>
  </si>
  <si>
    <t xml:space="preserve">T (yrs)</t>
  </si>
  <si>
    <t xml:space="preserve">d1 put</t>
  </si>
  <si>
    <t xml:space="preserve">d2 put</t>
  </si>
  <si>
    <t xml:space="preserve">Put premium</t>
  </si>
  <si>
    <t xml:space="preserve">d1 call</t>
  </si>
  <si>
    <t xml:space="preserve">d2 call</t>
  </si>
  <si>
    <t xml:space="preserve">Call premium</t>
  </si>
  <si>
    <t xml:space="preserve">Net premium /unit</t>
  </si>
  <si>
    <t xml:space="preserve">Game's edge vs market</t>
  </si>
  <si>
    <t xml:space="preserve">Zero-cost call strike</t>
  </si>
  <si>
    <t xml:space="preserve">Call premium at zero-cost strike</t>
  </si>
  <si>
    <t xml:space="preserve">Solver check</t>
  </si>
  <si>
    <t xml:space="preserve">Collar delta /unit</t>
  </si>
  <si>
    <t xml:space="preserve">Collar gamma /unit</t>
  </si>
  <si>
    <t xml:space="preserve">How to read it</t>
  </si>
  <si>
    <t xml:space="preserve">Net premium /unit = put premium - call premium. Positive means the collar would have cost money at market prices.</t>
  </si>
  <si>
    <t xml:space="preserve">Game's edge vs market = what the game's free collar was worth to me. Positive = the game gave me a better deal than the market would.</t>
  </si>
  <si>
    <t xml:space="preserve">If the game's call strike sits above the zero-cost strike, I kept more upside than a real zero-cost collar allows.</t>
  </si>
  <si>
    <t xml:space="preserve">Solver check reprices the zero-cost call in Excel. If you change σ or r in Assumptions, re-run src/stress_test.py to refresh column Q.</t>
  </si>
  <si>
    <t xml:space="preserve">Monte Carlo stress test, 10,000 scenarios per round</t>
  </si>
  <si>
    <t xml:space="preserve">Each round's actual position run through lognormal settlement prices centered on the forward, at the per-round σ in Assumptions. Values from src/stress_test.py.</t>
  </si>
  <si>
    <t xml:space="preserve">Forward</t>
  </si>
  <si>
    <t xml:space="preserve">σ per round</t>
  </si>
  <si>
    <t xml:space="preserve">Expected rev, hedged ($M)</t>
  </si>
  <si>
    <t xml:space="preserve">Expected rev, unhedged ($M)</t>
  </si>
  <si>
    <t xml:space="preserve">Std dev, hedged ($M)</t>
  </si>
  <si>
    <t xml:space="preserve">Std dev, unhedged ($M)</t>
  </si>
  <si>
    <t xml:space="preserve">95% VaR, hedged ($M)</t>
  </si>
  <si>
    <t xml:space="preserve">95% VaR, unhedged ($M)</t>
  </si>
  <si>
    <t xml:space="preserve">VaR reduction</t>
  </si>
  <si>
    <t xml:space="preserve">95% ES, hedged ($M)</t>
  </si>
  <si>
    <t xml:space="preserve">95% ES, unhedged ($M)</t>
  </si>
  <si>
    <t xml:space="preserve">Worst case, hedged ($M)</t>
  </si>
  <si>
    <t xml:space="preserve">Worst case, unhedged ($M)</t>
  </si>
  <si>
    <t xml:space="preserve">P(bankruptcy), hedged</t>
  </si>
  <si>
    <t xml:space="preserve">P(bankruptcy), unhedged</t>
  </si>
  <si>
    <t xml:space="preserve">P(clear hurdle), hedged</t>
  </si>
  <si>
    <t xml:space="preserve">P(clear hurdle), unhedged</t>
  </si>
  <si>
    <t xml:space="preserve">Avg</t>
  </si>
  <si>
    <t xml:space="preserve">Blank probability cells = no bankruptcy line or hurdle stated in that round's memo. Hedged revenue never falls below its floor, so 'worst case' is the floor where one exists.</t>
  </si>
  <si>
    <t xml:space="preserve">How the hedge book behaves as volatility changes</t>
  </si>
  <si>
    <t xml:space="preserve">Same 10,000-scenario test re-run at each σ. Rows = σ per round, columns = rounds with stated lines.</t>
  </si>
  <si>
    <t xml:space="preserve">VaR reduction from hedging</t>
  </si>
  <si>
    <t xml:space="preserve">R1</t>
  </si>
  <si>
    <t xml:space="preserve">R2</t>
  </si>
  <si>
    <t xml:space="preserve">R3</t>
  </si>
  <si>
    <t xml:space="preserve">R4</t>
  </si>
  <si>
    <t xml:space="preserve">R5</t>
  </si>
  <si>
    <t xml:space="preserve">R6</t>
  </si>
  <si>
    <t xml:space="preserve">R7</t>
  </si>
  <si>
    <t xml:space="preserve">P(clear hurdle): hedged minus unhedged</t>
  </si>
  <si>
    <t xml:space="preserve">P(bankruptcy): unhedged minus hedged</t>
  </si>
  <si>
    <t xml:space="preserve">Read it this way: a negative hurdle number means the hedge made the investment less likely to get funded. A positive bankruptcy number means the hedge removed that much bankruptcy probability.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</si>
</sst>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\$#,##0.00,,\M;&quot;($&quot;#,##0.00,,&quot;M)&quot;;\-"/>
    <numFmt numFmtId="166" formatCode="0.0%;\(0.0%\);\-"/>
    <numFmt numFmtId="167" formatCode="0"/>
    <numFmt numFmtId="168" formatCode="#,##0;\(#,##0\);\-"/>
    <numFmt numFmtId="169" formatCode="0.0000"/>
    <numFmt numFmtId="170" formatCode="\$#,##0.00;&quot;($&quot;#,##0.00\);\-"/>
    <numFmt numFmtId="171" formatCode="\$#,##0;&quot;($&quot;#,##0\);\-"/>
    <numFmt numFmtId="172" formatCode="0.000"/>
    <numFmt numFmtId="173" formatCode="0.00000"/>
    <numFmt numFmtId="174" formatCode="0.00"/>
    <numFmt numFmtId="175" formatCode="\+0.0%;\-0.0%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EEF2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8CE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2F7"/>
      <rgbColor rgb="FFCCFFFF"/>
      <rgbColor rgb="FF660066"/>
      <rgbColor rgb="FFFF8080"/>
      <rgbColor rgb="FF0066CC"/>
      <rgbColor rgb="FFC8CE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f aca="false">Settlement!L12</f>
        <v>74695500</v>
      </c>
      <c r="C5" s="6" t="s">
        <v>6</v>
      </c>
    </row>
    <row r="6" customFormat="false" ht="15" hidden="false" customHeight="false" outlineLevel="0" collapsed="false">
      <c r="A6" s="4" t="s">
        <v>7</v>
      </c>
      <c r="B6" s="5" t="n">
        <f aca="false">Settlement!I12</f>
        <v>78330000</v>
      </c>
      <c r="C6" s="6" t="s">
        <v>6</v>
      </c>
    </row>
    <row r="7" customFormat="false" ht="15" hidden="false" customHeight="false" outlineLevel="0" collapsed="false">
      <c r="A7" s="4" t="s">
        <v>8</v>
      </c>
      <c r="B7" s="5" t="n">
        <f aca="false">Settlement!I14</f>
        <v>3634500</v>
      </c>
      <c r="C7" s="6" t="s">
        <v>6</v>
      </c>
    </row>
    <row r="8" customFormat="false" ht="15" hidden="false" customHeight="false" outlineLevel="0" collapsed="false">
      <c r="A8" s="4" t="s">
        <v>9</v>
      </c>
      <c r="B8" s="7" t="n">
        <f aca="false">Settlement!I15</f>
        <v>0.0463998468019916</v>
      </c>
      <c r="C8" s="6" t="s">
        <v>6</v>
      </c>
    </row>
    <row r="9" customFormat="false" ht="15" hidden="false" customHeight="false" outlineLevel="0" collapsed="false">
      <c r="A9" s="4" t="s">
        <v>10</v>
      </c>
      <c r="B9" s="7" t="n">
        <f aca="false">Settlement!I18</f>
        <v>0.304066536039991</v>
      </c>
      <c r="C9" s="6" t="s">
        <v>6</v>
      </c>
    </row>
    <row r="10" customFormat="false" ht="15" hidden="false" customHeight="false" outlineLevel="0" collapsed="false">
      <c r="A10" s="4" t="s">
        <v>11</v>
      </c>
      <c r="B10" s="8" t="str">
        <f aca="false">Settlement!I19&amp;" / "&amp;Settlement!I20</f>
        <v>0 / 0</v>
      </c>
      <c r="C10" s="6" t="s">
        <v>6</v>
      </c>
    </row>
    <row r="11" customFormat="false" ht="15" hidden="false" customHeight="false" outlineLevel="0" collapsed="false">
      <c r="A11" s="4" t="s">
        <v>12</v>
      </c>
      <c r="B11" s="9" t="n">
        <f aca="false">Settlement!I21</f>
        <v>0</v>
      </c>
      <c r="C11" s="6" t="s">
        <v>6</v>
      </c>
    </row>
    <row r="12" customFormat="false" ht="15" hidden="false" customHeight="false" outlineLevel="0" collapsed="false">
      <c r="A12" s="4" t="s">
        <v>13</v>
      </c>
      <c r="B12" s="8" t="str">
        <f aca="false">IF(COUNTIF(Settlement!O5:O11,"Yes")=7,"Yes, 7 of 7","CHECK")</f>
        <v>Yes, 7 of 7</v>
      </c>
      <c r="C12" s="6" t="s">
        <v>6</v>
      </c>
    </row>
    <row r="14" customFormat="false" ht="31.5" hidden="false" customHeight="true" outlineLevel="0" collapsed="false">
      <c r="A14" s="3" t="s">
        <v>14</v>
      </c>
      <c r="B14" s="3" t="s">
        <v>3</v>
      </c>
      <c r="C14" s="3" t="s">
        <v>4</v>
      </c>
    </row>
    <row r="15" customFormat="false" ht="15" hidden="false" customHeight="false" outlineLevel="0" collapsed="false">
      <c r="A15" s="4" t="s">
        <v>15</v>
      </c>
      <c r="B15" s="7" t="n">
        <f aca="false">Assumptions!B6</f>
        <v>0.744382256019943</v>
      </c>
      <c r="C15" s="6" t="s">
        <v>16</v>
      </c>
    </row>
    <row r="16" customFormat="false" ht="15" hidden="false" customHeight="false" outlineLevel="0" collapsed="false">
      <c r="A16" s="4" t="s">
        <v>17</v>
      </c>
      <c r="B16" s="7" t="n">
        <f aca="false">'Stress Test'!J12</f>
        <v>0.695619862262866</v>
      </c>
      <c r="C16" s="6" t="s">
        <v>18</v>
      </c>
    </row>
    <row r="17" customFormat="false" ht="15" hidden="false" customHeight="false" outlineLevel="0" collapsed="false">
      <c r="A17" s="4" t="s">
        <v>19</v>
      </c>
      <c r="B17" s="7" t="n">
        <f aca="false">'Stress Test'!P12</f>
        <v>0.24694</v>
      </c>
      <c r="C17" s="6" t="s">
        <v>20</v>
      </c>
    </row>
    <row r="18" customFormat="false" ht="15" hidden="false" customHeight="false" outlineLevel="0" collapsed="false">
      <c r="A18" s="4" t="s">
        <v>21</v>
      </c>
      <c r="B18" s="7" t="n">
        <f aca="false">'Stress Test'!O12</f>
        <v>0.00954</v>
      </c>
      <c r="C18" s="6" t="s">
        <v>20</v>
      </c>
    </row>
    <row r="19" customFormat="false" ht="15" hidden="false" customHeight="false" outlineLevel="0" collapsed="false">
      <c r="A19" s="4" t="s">
        <v>22</v>
      </c>
      <c r="B19" s="7" t="n">
        <f aca="false">'Stress Test'!R12</f>
        <v>0.26124</v>
      </c>
      <c r="C19" s="6" t="s">
        <v>23</v>
      </c>
    </row>
    <row r="20" customFormat="false" ht="15" hidden="false" customHeight="false" outlineLevel="0" collapsed="false">
      <c r="A20" s="4" t="s">
        <v>24</v>
      </c>
      <c r="B20" s="7" t="n">
        <f aca="false">'Stress Test'!Q12</f>
        <v>0.18046</v>
      </c>
      <c r="C20" s="6" t="s">
        <v>23</v>
      </c>
    </row>
    <row r="21" customFormat="false" ht="15" hidden="false" customHeight="false" outlineLevel="0" collapsed="false">
      <c r="A21" s="4" t="s">
        <v>25</v>
      </c>
      <c r="B21" s="5" t="n">
        <f aca="false">SUM('Collar Pricing'!P5:P7)</f>
        <v>209203.502580645</v>
      </c>
      <c r="C21" s="6" t="s">
        <v>26</v>
      </c>
    </row>
    <row r="24" customFormat="false" ht="15" hidden="false" customHeight="false" outlineLevel="0" collapsed="false">
      <c r="A24" s="10" t="s">
        <v>27</v>
      </c>
    </row>
    <row r="25" customFormat="false" ht="15" hidden="false" customHeight="false" outlineLevel="0" collapsed="false">
      <c r="A25" s="11" t="s">
        <v>28</v>
      </c>
    </row>
    <row r="26" customFormat="false" ht="15" hidden="false" customHeight="false" outlineLevel="0" collapsed="false">
      <c r="A26" s="11" t="s">
        <v>29</v>
      </c>
    </row>
    <row r="27" customFormat="false" ht="15" hidden="false" customHeight="false" outlineLevel="0" collapsed="false">
      <c r="A27" s="11" t="s">
        <v>30</v>
      </c>
    </row>
    <row r="29" customFormat="false" ht="15" hidden="false" customHeight="false" outlineLevel="0" collapsed="false">
      <c r="A29" s="2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90"/>
  </cols>
  <sheetData>
    <row r="1" customFormat="false" ht="17.35" hidden="false" customHeight="false" outlineLevel="0" collapsed="false">
      <c r="A1" s="1" t="s">
        <v>16</v>
      </c>
    </row>
    <row r="2" customFormat="false" ht="15" hidden="false" customHeight="false" outlineLevel="0" collapsed="false">
      <c r="A2" s="2" t="s">
        <v>32</v>
      </c>
    </row>
    <row r="4" customFormat="false" ht="31.5" hidden="false" customHeight="true" outlineLevel="0" collapsed="false">
      <c r="A4" s="3" t="s">
        <v>33</v>
      </c>
      <c r="B4" s="3" t="s">
        <v>3</v>
      </c>
      <c r="C4" s="3" t="s">
        <v>34</v>
      </c>
    </row>
    <row r="5" customFormat="false" ht="15" hidden="false" customHeight="false" outlineLevel="0" collapsed="false">
      <c r="A5" s="4" t="s">
        <v>35</v>
      </c>
      <c r="B5" s="12" t="n">
        <v>100000</v>
      </c>
      <c r="C5" s="6" t="s">
        <v>36</v>
      </c>
    </row>
    <row r="6" customFormat="false" ht="15" hidden="false" customHeight="false" outlineLevel="0" collapsed="false">
      <c r="A6" s="4" t="s">
        <v>37</v>
      </c>
      <c r="B6" s="13" t="n">
        <f aca="false">STDEV(Settlement!R6:R11)</f>
        <v>0.744382256019943</v>
      </c>
      <c r="C6" s="6" t="s">
        <v>38</v>
      </c>
    </row>
    <row r="7" customFormat="false" ht="15" hidden="false" customHeight="false" outlineLevel="0" collapsed="false">
      <c r="A7" s="4" t="s">
        <v>39</v>
      </c>
      <c r="B7" s="14" t="n">
        <v>0.04</v>
      </c>
      <c r="C7" s="6" t="s">
        <v>40</v>
      </c>
    </row>
    <row r="8" customFormat="false" ht="15" hidden="false" customHeight="false" outlineLevel="0" collapsed="false">
      <c r="A8" s="4" t="s">
        <v>41</v>
      </c>
      <c r="B8" s="15" t="n">
        <v>0.0833333333333333</v>
      </c>
      <c r="C8" s="6" t="s">
        <v>42</v>
      </c>
    </row>
    <row r="9" customFormat="false" ht="15" hidden="false" customHeight="false" outlineLevel="0" collapsed="false">
      <c r="A9" s="4" t="s">
        <v>43</v>
      </c>
      <c r="B9" s="16" t="n">
        <f aca="false">B6/SQRT(B8)</f>
        <v>2.57861577535857</v>
      </c>
      <c r="C9" s="6" t="s">
        <v>44</v>
      </c>
    </row>
    <row r="10" customFormat="false" ht="15" hidden="false" customHeight="false" outlineLevel="0" collapsed="false">
      <c r="A10" s="4" t="s">
        <v>45</v>
      </c>
      <c r="B10" s="12" t="n">
        <v>10000</v>
      </c>
      <c r="C10" s="6" t="s">
        <v>46</v>
      </c>
    </row>
    <row r="11" customFormat="false" ht="15" hidden="false" customHeight="false" outlineLevel="0" collapsed="false">
      <c r="A11" s="4" t="s">
        <v>47</v>
      </c>
      <c r="B11" s="17" t="n">
        <v>2025</v>
      </c>
      <c r="C11" s="6" t="s">
        <v>48</v>
      </c>
    </row>
    <row r="12" customFormat="false" ht="15" hidden="false" customHeight="false" outlineLevel="0" collapsed="false">
      <c r="A12" s="4" t="s">
        <v>49</v>
      </c>
      <c r="B12" s="18" t="s">
        <v>50</v>
      </c>
      <c r="C12" s="6" t="s">
        <v>51</v>
      </c>
    </row>
    <row r="15" customFormat="false" ht="15" hidden="false" customHeight="false" outlineLevel="0" collapsed="false">
      <c r="A15" s="2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8" min="3" style="0" width="10"/>
    <col collapsed="false" customWidth="true" hidden="false" outlineLevel="0" max="9" min="9" style="0" width="15"/>
    <col collapsed="false" customWidth="true" hidden="false" outlineLevel="0" max="11" min="10" style="0" width="14"/>
    <col collapsed="false" customWidth="true" hidden="false" outlineLevel="0" max="12" min="12" style="0" width="15"/>
    <col collapsed="false" customWidth="true" hidden="false" outlineLevel="0" max="13" min="13" style="0" width="14"/>
    <col collapsed="false" customWidth="true" hidden="false" outlineLevel="0" max="14" min="14" style="0" width="15"/>
    <col collapsed="false" customWidth="true" hidden="false" outlineLevel="0" max="15" min="15" style="0" width="11"/>
    <col collapsed="false" customWidth="true" hidden="false" outlineLevel="0" max="17" min="16" style="0" width="14"/>
    <col collapsed="false" customWidth="true" hidden="false" outlineLevel="0" max="18" min="18" style="0" width="12"/>
  </cols>
  <sheetData>
    <row r="1" customFormat="false" ht="17.35" hidden="false" customHeight="false" outlineLevel="0" collapsed="false">
      <c r="A1" s="1" t="s">
        <v>53</v>
      </c>
    </row>
    <row r="2" customFormat="false" ht="15" hidden="false" customHeight="false" outlineLevel="0" collapsed="false">
      <c r="A2" s="2" t="s">
        <v>54</v>
      </c>
    </row>
    <row r="4" customFormat="false" ht="31.5" hidden="false" customHeight="true" outlineLevel="0" collapsed="false">
      <c r="A4" s="3" t="s">
        <v>55</v>
      </c>
      <c r="B4" s="3" t="s">
        <v>56</v>
      </c>
      <c r="C4" s="3" t="s">
        <v>57</v>
      </c>
      <c r="D4" s="3" t="s">
        <v>50</v>
      </c>
      <c r="E4" s="3" t="s">
        <v>58</v>
      </c>
      <c r="F4" s="3" t="s">
        <v>59</v>
      </c>
      <c r="G4" s="3" t="s">
        <v>60</v>
      </c>
      <c r="H4" s="3" t="s">
        <v>61</v>
      </c>
      <c r="I4" s="3" t="s">
        <v>62</v>
      </c>
      <c r="J4" s="3" t="s">
        <v>63</v>
      </c>
      <c r="K4" s="3" t="s">
        <v>64</v>
      </c>
      <c r="L4" s="3" t="s">
        <v>65</v>
      </c>
      <c r="M4" s="3" t="s">
        <v>66</v>
      </c>
      <c r="N4" s="3" t="s">
        <v>67</v>
      </c>
      <c r="O4" s="3" t="s">
        <v>68</v>
      </c>
      <c r="P4" s="3" t="s">
        <v>69</v>
      </c>
      <c r="Q4" s="3" t="s">
        <v>70</v>
      </c>
      <c r="R4" s="3" t="s">
        <v>71</v>
      </c>
    </row>
    <row r="5" customFormat="false" ht="15" hidden="false" customHeight="false" outlineLevel="0" collapsed="false">
      <c r="A5" s="17" t="n">
        <v>1</v>
      </c>
      <c r="B5" s="19" t="n">
        <v>120</v>
      </c>
      <c r="C5" s="12" t="n">
        <v>70000</v>
      </c>
      <c r="D5" s="19" t="n">
        <v>45.25</v>
      </c>
      <c r="E5" s="12" t="n">
        <v>0</v>
      </c>
      <c r="F5" s="19"/>
      <c r="G5" s="19"/>
      <c r="H5" s="20" t="n">
        <f aca="false">Assumptions!$B$5-C5-E5</f>
        <v>30000</v>
      </c>
      <c r="I5" s="21" t="n">
        <f aca="false">Assumptions!$B$5*B5</f>
        <v>12000000</v>
      </c>
      <c r="J5" s="21" t="n">
        <f aca="false">C5*(D5-B5)</f>
        <v>-5232500</v>
      </c>
      <c r="K5" s="21" t="n">
        <f aca="false">IF(E5=0,0,E5*(MAX(F5-B5,0)-MAX(B5-G5,0)))</f>
        <v>0</v>
      </c>
      <c r="L5" s="22" t="n">
        <f aca="false">I5+J5+K5</f>
        <v>6767500</v>
      </c>
      <c r="M5" s="21" t="n">
        <f aca="false">L5-I5</f>
        <v>-5232500</v>
      </c>
      <c r="N5" s="23" t="n">
        <v>6767500</v>
      </c>
      <c r="O5" s="4" t="str">
        <f aca="false">IF(ABS(L5-N5)&lt;1,"Yes","CHECK")</f>
        <v>Yes</v>
      </c>
      <c r="P5" s="23"/>
      <c r="Q5" s="23"/>
      <c r="R5" s="16"/>
    </row>
    <row r="6" customFormat="false" ht="15" hidden="false" customHeight="false" outlineLevel="0" collapsed="false">
      <c r="A6" s="17" t="n">
        <v>2</v>
      </c>
      <c r="B6" s="19" t="n">
        <v>140</v>
      </c>
      <c r="C6" s="12" t="n">
        <v>60000</v>
      </c>
      <c r="D6" s="19" t="n">
        <v>115</v>
      </c>
      <c r="E6" s="12" t="n">
        <v>0</v>
      </c>
      <c r="F6" s="19"/>
      <c r="G6" s="19"/>
      <c r="H6" s="20" t="n">
        <f aca="false">Assumptions!$B$5-C6-E6</f>
        <v>40000</v>
      </c>
      <c r="I6" s="21" t="n">
        <f aca="false">Assumptions!$B$5*B6</f>
        <v>14000000</v>
      </c>
      <c r="J6" s="21" t="n">
        <f aca="false">C6*(D6-B6)</f>
        <v>-1500000</v>
      </c>
      <c r="K6" s="21" t="n">
        <f aca="false">IF(E6=0,0,E6*(MAX(F6-B6,0)-MAX(B6-G6,0)))</f>
        <v>0</v>
      </c>
      <c r="L6" s="22" t="n">
        <f aca="false">I6+J6+K6</f>
        <v>12500000</v>
      </c>
      <c r="M6" s="21" t="n">
        <f aca="false">L6-I6</f>
        <v>-1500000</v>
      </c>
      <c r="N6" s="23" t="n">
        <v>12500000</v>
      </c>
      <c r="O6" s="4" t="str">
        <f aca="false">IF(ABS(L6-N6)&lt;1,"Yes","CHECK")</f>
        <v>Yes</v>
      </c>
      <c r="P6" s="23" t="n">
        <v>5000000</v>
      </c>
      <c r="Q6" s="23" t="n">
        <v>15000000</v>
      </c>
      <c r="R6" s="16" t="n">
        <f aca="false">LN(B6/B5)</f>
        <v>0.154150679827258</v>
      </c>
    </row>
    <row r="7" customFormat="false" ht="15" hidden="false" customHeight="false" outlineLevel="0" collapsed="false">
      <c r="A7" s="17" t="n">
        <v>3</v>
      </c>
      <c r="B7" s="19" t="n">
        <v>84</v>
      </c>
      <c r="C7" s="12" t="n">
        <v>70000</v>
      </c>
      <c r="D7" s="19" t="n">
        <v>135</v>
      </c>
      <c r="E7" s="12" t="n">
        <v>0</v>
      </c>
      <c r="F7" s="19"/>
      <c r="G7" s="19"/>
      <c r="H7" s="20" t="n">
        <f aca="false">Assumptions!$B$5-C7-E7</f>
        <v>30000</v>
      </c>
      <c r="I7" s="21" t="n">
        <f aca="false">Assumptions!$B$5*B7</f>
        <v>8400000</v>
      </c>
      <c r="J7" s="21" t="n">
        <f aca="false">C7*(D7-B7)</f>
        <v>3570000</v>
      </c>
      <c r="K7" s="21" t="n">
        <f aca="false">IF(E7=0,0,E7*(MAX(F7-B7,0)-MAX(B7-G7,0)))</f>
        <v>0</v>
      </c>
      <c r="L7" s="22" t="n">
        <f aca="false">I7+J7+K7</f>
        <v>11970000</v>
      </c>
      <c r="M7" s="21" t="n">
        <f aca="false">L7-I7</f>
        <v>3570000</v>
      </c>
      <c r="N7" s="23" t="n">
        <v>11970000</v>
      </c>
      <c r="O7" s="4" t="str">
        <f aca="false">IF(ABS(L7-N7)&lt;1,"Yes","CHECK")</f>
        <v>Yes</v>
      </c>
      <c r="P7" s="23" t="n">
        <v>5000000</v>
      </c>
      <c r="Q7" s="23" t="n">
        <v>15000000</v>
      </c>
      <c r="R7" s="16" t="n">
        <f aca="false">LN(B7/B6)</f>
        <v>-0.510825623765991</v>
      </c>
    </row>
    <row r="8" customFormat="false" ht="15" hidden="false" customHeight="false" outlineLevel="0" collapsed="false">
      <c r="A8" s="17" t="n">
        <v>4</v>
      </c>
      <c r="B8" s="19" t="n">
        <v>56.5</v>
      </c>
      <c r="C8" s="12" t="n">
        <v>60000</v>
      </c>
      <c r="D8" s="19" t="n">
        <v>85</v>
      </c>
      <c r="E8" s="12" t="n">
        <v>0</v>
      </c>
      <c r="F8" s="19"/>
      <c r="G8" s="19"/>
      <c r="H8" s="20" t="n">
        <f aca="false">Assumptions!$B$5-C8-E8</f>
        <v>40000</v>
      </c>
      <c r="I8" s="21" t="n">
        <f aca="false">Assumptions!$B$5*B8</f>
        <v>5650000</v>
      </c>
      <c r="J8" s="21" t="n">
        <f aca="false">C8*(D8-B8)</f>
        <v>1710000</v>
      </c>
      <c r="K8" s="21" t="n">
        <f aca="false">IF(E8=0,0,E8*(MAX(F8-B8,0)-MAX(B8-G8,0)))</f>
        <v>0</v>
      </c>
      <c r="L8" s="22" t="n">
        <f aca="false">I8+J8+K8</f>
        <v>7360000</v>
      </c>
      <c r="M8" s="21" t="n">
        <f aca="false">L8-I8</f>
        <v>1710000</v>
      </c>
      <c r="N8" s="23" t="n">
        <v>7360000</v>
      </c>
      <c r="O8" s="4" t="str">
        <f aca="false">IF(ABS(L8-N8)&lt;1,"Yes","CHECK")</f>
        <v>Yes</v>
      </c>
      <c r="P8" s="23" t="n">
        <v>4000000</v>
      </c>
      <c r="Q8" s="23" t="n">
        <v>11000000</v>
      </c>
      <c r="R8" s="16" t="n">
        <f aca="false">LN(B8/B7)</f>
        <v>-0.396576160690918</v>
      </c>
    </row>
    <row r="9" customFormat="false" ht="15" hidden="false" customHeight="false" outlineLevel="0" collapsed="false">
      <c r="A9" s="17" t="n">
        <v>5</v>
      </c>
      <c r="B9" s="19" t="n">
        <v>83.8</v>
      </c>
      <c r="C9" s="12" t="n">
        <v>30000</v>
      </c>
      <c r="D9" s="19" t="n">
        <v>56</v>
      </c>
      <c r="E9" s="12" t="n">
        <v>60000</v>
      </c>
      <c r="F9" s="19" t="n">
        <v>45</v>
      </c>
      <c r="G9" s="19" t="n">
        <v>75</v>
      </c>
      <c r="H9" s="20" t="n">
        <f aca="false">Assumptions!$B$5-C9-E9</f>
        <v>10000</v>
      </c>
      <c r="I9" s="21" t="n">
        <f aca="false">Assumptions!$B$5*B9</f>
        <v>8380000</v>
      </c>
      <c r="J9" s="21" t="n">
        <f aca="false">C9*(D9-B9)</f>
        <v>-834000</v>
      </c>
      <c r="K9" s="21" t="n">
        <f aca="false">IF(E9=0,0,E9*(MAX(F9-B9,0)-MAX(B9-G9,0)))</f>
        <v>-528000</v>
      </c>
      <c r="L9" s="22" t="n">
        <f aca="false">I9+J9+K9</f>
        <v>7018000</v>
      </c>
      <c r="M9" s="21" t="n">
        <f aca="false">L9-I9</f>
        <v>-1362000</v>
      </c>
      <c r="N9" s="23" t="n">
        <v>7018000</v>
      </c>
      <c r="O9" s="4" t="str">
        <f aca="false">IF(ABS(L9-N9)&lt;1,"Yes","CHECK")</f>
        <v>Yes</v>
      </c>
      <c r="P9" s="23" t="n">
        <v>4500000</v>
      </c>
      <c r="Q9" s="23" t="n">
        <v>9500000</v>
      </c>
      <c r="R9" s="16" t="n">
        <f aca="false">LN(B9/B8)</f>
        <v>0.394192369335642</v>
      </c>
    </row>
    <row r="10" customFormat="false" ht="15" hidden="false" customHeight="false" outlineLevel="0" collapsed="false">
      <c r="A10" s="17" t="n">
        <v>6</v>
      </c>
      <c r="B10" s="19" t="n">
        <v>225</v>
      </c>
      <c r="C10" s="12" t="n">
        <v>40000</v>
      </c>
      <c r="D10" s="19" t="n">
        <v>75</v>
      </c>
      <c r="E10" s="12" t="n">
        <v>40000</v>
      </c>
      <c r="F10" s="19" t="n">
        <v>70</v>
      </c>
      <c r="G10" s="19" t="n">
        <v>95</v>
      </c>
      <c r="H10" s="20" t="n">
        <f aca="false">Assumptions!$B$5-C10-E10</f>
        <v>20000</v>
      </c>
      <c r="I10" s="21" t="n">
        <f aca="false">Assumptions!$B$5*B10</f>
        <v>22500000</v>
      </c>
      <c r="J10" s="21" t="n">
        <f aca="false">C10*(D10-B10)</f>
        <v>-6000000</v>
      </c>
      <c r="K10" s="21" t="n">
        <f aca="false">IF(E10=0,0,E10*(MAX(F10-B10,0)-MAX(B10-G10,0)))</f>
        <v>-5200000</v>
      </c>
      <c r="L10" s="22" t="n">
        <f aca="false">I10+J10+K10</f>
        <v>11300000</v>
      </c>
      <c r="M10" s="21" t="n">
        <f aca="false">L10-I10</f>
        <v>-11200000</v>
      </c>
      <c r="N10" s="23" t="n">
        <v>11300000</v>
      </c>
      <c r="O10" s="4" t="str">
        <f aca="false">IF(ABS(L10-N10)&lt;1,"Yes","CHECK")</f>
        <v>Yes</v>
      </c>
      <c r="P10" s="23"/>
      <c r="Q10" s="23"/>
      <c r="R10" s="16" t="n">
        <f aca="false">LN(B10/B9)</f>
        <v>0.987667394716383</v>
      </c>
    </row>
    <row r="11" customFormat="false" ht="15" hidden="false" customHeight="false" outlineLevel="0" collapsed="false">
      <c r="A11" s="17" t="n">
        <v>7</v>
      </c>
      <c r="B11" s="19" t="n">
        <v>74</v>
      </c>
      <c r="C11" s="12" t="n">
        <v>30000</v>
      </c>
      <c r="D11" s="19" t="n">
        <v>210</v>
      </c>
      <c r="E11" s="12" t="n">
        <v>50000</v>
      </c>
      <c r="F11" s="19" t="n">
        <v>200</v>
      </c>
      <c r="G11" s="19" t="n">
        <v>240</v>
      </c>
      <c r="H11" s="20" t="n">
        <f aca="false">Assumptions!$B$5-C11-E11</f>
        <v>20000</v>
      </c>
      <c r="I11" s="21" t="n">
        <f aca="false">Assumptions!$B$5*B11</f>
        <v>7400000</v>
      </c>
      <c r="J11" s="21" t="n">
        <f aca="false">C11*(D11-B11)</f>
        <v>4080000</v>
      </c>
      <c r="K11" s="21" t="n">
        <f aca="false">IF(E11=0,0,E11*(MAX(F11-B11,0)-MAX(B11-G11,0)))</f>
        <v>6300000</v>
      </c>
      <c r="L11" s="22" t="n">
        <f aca="false">I11+J11+K11</f>
        <v>17780000</v>
      </c>
      <c r="M11" s="21" t="n">
        <f aca="false">L11-I11</f>
        <v>10380000</v>
      </c>
      <c r="N11" s="23" t="n">
        <v>17780000</v>
      </c>
      <c r="O11" s="4" t="str">
        <f aca="false">IF(ABS(L11-N11)&lt;1,"Yes","CHECK")</f>
        <v>Yes</v>
      </c>
      <c r="P11" s="23" t="n">
        <v>5000000</v>
      </c>
      <c r="Q11" s="23" t="n">
        <v>20000000</v>
      </c>
      <c r="R11" s="16" t="n">
        <f aca="false">LN(B11/B10)</f>
        <v>-1.11203530900025</v>
      </c>
    </row>
    <row r="12" customFormat="false" ht="15" hidden="false" customHeight="false" outlineLevel="0" collapsed="false">
      <c r="A12" s="24" t="s">
        <v>72</v>
      </c>
      <c r="I12" s="25" t="n">
        <f aca="false">SUM(I5:I11)</f>
        <v>78330000</v>
      </c>
      <c r="J12" s="25" t="n">
        <f aca="false">SUM(J5:J11)</f>
        <v>-4206500</v>
      </c>
      <c r="K12" s="25" t="n">
        <f aca="false">SUM(K5:K11)</f>
        <v>572000</v>
      </c>
      <c r="L12" s="25" t="n">
        <f aca="false">SUM(L5:L11)</f>
        <v>74695500</v>
      </c>
      <c r="M12" s="25" t="n">
        <f aca="false">SUM(M5:M11)</f>
        <v>-3634500</v>
      </c>
      <c r="N12" s="25" t="n">
        <f aca="false">SUM(N5:N11)</f>
        <v>74695500</v>
      </c>
    </row>
    <row r="14" customFormat="false" ht="15" hidden="false" customHeight="false" outlineLevel="0" collapsed="false">
      <c r="A14" s="26" t="s">
        <v>73</v>
      </c>
      <c r="I14" s="22" t="n">
        <f aca="false">I12-L12</f>
        <v>3634500</v>
      </c>
    </row>
    <row r="15" customFormat="false" ht="15" hidden="false" customHeight="false" outlineLevel="0" collapsed="false">
      <c r="A15" s="4" t="s">
        <v>9</v>
      </c>
      <c r="I15" s="16" t="n">
        <f aca="false">IF(I12=0,0,I14/I12)</f>
        <v>0.0463998468019916</v>
      </c>
    </row>
    <row r="16" customFormat="false" ht="15" hidden="false" customHeight="false" outlineLevel="0" collapsed="false">
      <c r="A16" s="4" t="s">
        <v>74</v>
      </c>
      <c r="I16" s="21" t="n">
        <f aca="false">STDEVP(L5:L11)</f>
        <v>3693828.94507992</v>
      </c>
    </row>
    <row r="17" customFormat="false" ht="15" hidden="false" customHeight="false" outlineLevel="0" collapsed="false">
      <c r="A17" s="4" t="s">
        <v>75</v>
      </c>
      <c r="I17" s="21" t="n">
        <f aca="false">STDEVP(I5:I11)</f>
        <v>5307732.90317331</v>
      </c>
    </row>
    <row r="18" customFormat="false" ht="15" hidden="false" customHeight="false" outlineLevel="0" collapsed="false">
      <c r="A18" s="4" t="s">
        <v>76</v>
      </c>
      <c r="I18" s="27" t="n">
        <f aca="false">IF(I17=0,0,1-I16/I17)</f>
        <v>0.304066536039991</v>
      </c>
    </row>
    <row r="19" customFormat="false" ht="15" hidden="false" customHeight="false" outlineLevel="0" collapsed="false">
      <c r="A19" s="4" t="s">
        <v>77</v>
      </c>
      <c r="I19" s="28" t="n">
        <f aca="false">SUMPRODUCT((P5:P11&lt;&gt;"")*(L5:L11&lt;P5:P11))</f>
        <v>0</v>
      </c>
    </row>
    <row r="20" customFormat="false" ht="15" hidden="false" customHeight="false" outlineLevel="0" collapsed="false">
      <c r="A20" s="4" t="s">
        <v>78</v>
      </c>
      <c r="I20" s="28" t="n">
        <f aca="false">SUMPRODUCT((P5:P11&lt;&gt;"")*(I5:I11&lt;P5:P11))</f>
        <v>0</v>
      </c>
    </row>
    <row r="21" customFormat="false" ht="15" hidden="false" customHeight="false" outlineLevel="0" collapsed="false">
      <c r="A21" s="4" t="s">
        <v>79</v>
      </c>
      <c r="I21" s="28" t="n">
        <f aca="false">SUMPRODUCT((Q5:Q11&lt;&gt;"")*(L5:L11&gt;=Q5:Q11))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1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8"/>
    <col collapsed="false" customWidth="true" hidden="false" outlineLevel="0" max="9" min="7" style="0" width="9"/>
    <col collapsed="false" customWidth="true" hidden="false" outlineLevel="0" max="10" min="10" style="0" width="12"/>
    <col collapsed="false" customWidth="true" hidden="false" outlineLevel="0" max="12" min="11" style="0" width="9"/>
    <col collapsed="false" customWidth="true" hidden="false" outlineLevel="0" max="13" min="13" style="0" width="12"/>
    <col collapsed="false" customWidth="true" hidden="false" outlineLevel="0" max="14" min="14" style="0" width="13"/>
    <col collapsed="false" customWidth="true" hidden="false" outlineLevel="0" max="15" min="15" style="0" width="11"/>
    <col collapsed="false" customWidth="true" hidden="false" outlineLevel="0" max="16" min="16" style="0" width="15"/>
    <col collapsed="false" customWidth="true" hidden="false" outlineLevel="0" max="17" min="17" style="0" width="14"/>
    <col collapsed="false" customWidth="true" hidden="false" outlineLevel="0" max="18" min="18" style="0" width="15"/>
    <col collapsed="false" customWidth="true" hidden="false" outlineLevel="0" max="19" min="19" style="0" width="11"/>
    <col collapsed="false" customWidth="true" hidden="false" outlineLevel="0" max="21" min="20" style="0" width="12"/>
  </cols>
  <sheetData>
    <row r="1" customFormat="false" ht="17.35" hidden="false" customHeight="false" outlineLevel="0" collapsed="false">
      <c r="A1" s="1" t="s">
        <v>80</v>
      </c>
    </row>
    <row r="2" customFormat="false" ht="15" hidden="false" customHeight="false" outlineLevel="0" collapsed="false">
      <c r="A2" s="2" t="s">
        <v>81</v>
      </c>
    </row>
    <row r="4" customFormat="false" ht="31.5" hidden="false" customHeight="true" outlineLevel="0" collapsed="false">
      <c r="A4" s="3" t="s">
        <v>55</v>
      </c>
      <c r="B4" s="3" t="s">
        <v>82</v>
      </c>
      <c r="C4" s="3" t="s">
        <v>59</v>
      </c>
      <c r="D4" s="3" t="s">
        <v>83</v>
      </c>
      <c r="E4" s="3" t="s">
        <v>84</v>
      </c>
      <c r="F4" s="3" t="s">
        <v>85</v>
      </c>
      <c r="G4" s="3" t="s">
        <v>86</v>
      </c>
      <c r="H4" s="3" t="s">
        <v>87</v>
      </c>
      <c r="I4" s="3" t="s">
        <v>88</v>
      </c>
      <c r="J4" s="3" t="s">
        <v>89</v>
      </c>
      <c r="K4" s="3" t="s">
        <v>90</v>
      </c>
      <c r="L4" s="3" t="s">
        <v>91</v>
      </c>
      <c r="M4" s="3" t="s">
        <v>92</v>
      </c>
      <c r="N4" s="3" t="s">
        <v>93</v>
      </c>
      <c r="O4" s="3" t="s">
        <v>58</v>
      </c>
      <c r="P4" s="3" t="s">
        <v>94</v>
      </c>
      <c r="Q4" s="3" t="s">
        <v>95</v>
      </c>
      <c r="R4" s="3" t="s">
        <v>96</v>
      </c>
      <c r="S4" s="3" t="s">
        <v>97</v>
      </c>
      <c r="T4" s="3" t="s">
        <v>98</v>
      </c>
      <c r="U4" s="3" t="s">
        <v>99</v>
      </c>
    </row>
    <row r="5" customFormat="false" ht="15" hidden="false" customHeight="false" outlineLevel="0" collapsed="false">
      <c r="A5" s="17" t="n">
        <v>5</v>
      </c>
      <c r="B5" s="29" t="n">
        <f aca="false">Settlement!D9</f>
        <v>56</v>
      </c>
      <c r="C5" s="29" t="n">
        <f aca="false">Settlement!F9</f>
        <v>45</v>
      </c>
      <c r="D5" s="29" t="n">
        <f aca="false">Settlement!G9</f>
        <v>75</v>
      </c>
      <c r="E5" s="30" t="n">
        <f aca="false">Assumptions!$B$9</f>
        <v>2.57861577535857</v>
      </c>
      <c r="F5" s="30" t="n">
        <f aca="false">Assumptions!$B$7</f>
        <v>0.04</v>
      </c>
      <c r="G5" s="31" t="n">
        <f aca="false">Assumptions!$B$8</f>
        <v>0.0833333333333333</v>
      </c>
      <c r="H5" s="32" t="n">
        <f aca="false">(LN(B5/C5)+0.5*E5^2*G5)/(E5*SQRT(G5))</f>
        <v>0.66597728316917</v>
      </c>
      <c r="I5" s="32" t="n">
        <f aca="false">H5-E5*SQRT(G5)</f>
        <v>-0.0784049728507723</v>
      </c>
      <c r="J5" s="33" t="n">
        <f aca="false">EXP(-F5*G5)*(C5*NORMSDIST(-I5)-B5*NORMSDIST(-H5))</f>
        <v>9.72173959950827</v>
      </c>
      <c r="K5" s="32" t="n">
        <f aca="false">(LN(B5/D5)+0.5*E5^2*G5)/(E5*SQRT(G5))</f>
        <v>-0.0202637168477689</v>
      </c>
      <c r="L5" s="32" t="n">
        <f aca="false">K5-E5*SQRT(G5)</f>
        <v>-0.764645972867711</v>
      </c>
      <c r="M5" s="33" t="n">
        <f aca="false">EXP(-F5*G5)*(B5*NORMSDIST(K5)-D5*NORMSDIST(L5))</f>
        <v>10.8430307795607</v>
      </c>
      <c r="N5" s="34" t="n">
        <f aca="false">J5-M5</f>
        <v>-1.12129118005244</v>
      </c>
      <c r="O5" s="35" t="n">
        <f aca="false">Settlement!E9</f>
        <v>60000</v>
      </c>
      <c r="P5" s="22" t="n">
        <f aca="false">N5*O5</f>
        <v>-67277.4708031465</v>
      </c>
      <c r="Q5" s="19" t="n">
        <v>80.3952</v>
      </c>
      <c r="R5" s="33" t="n">
        <f aca="false">EXP(-F5*G5)*(B5*NORMSDIST((LN(B5/Q5)+0.5*E5^2*G5)/(E5*SQRT(G5)))-Q5*NORMSDIST((LN(B5/Q5)-0.5*E5^2*G5)/(E5*SQRT(G5))))</f>
        <v>9.72174421918414</v>
      </c>
      <c r="S5" s="4" t="str">
        <f aca="false">IF(ABS(R5-J5)&lt;0.01,"Matches put","Re-run solver")</f>
        <v>Matches put</v>
      </c>
      <c r="T5" s="36" t="n">
        <f aca="false">EXP(-F5*G5)*((NORMSDIST(H5)-1)-NORMSDIST(K5))</f>
        <v>-0.742151344663356</v>
      </c>
      <c r="U5" s="37" t="n">
        <f aca="false">EXP(-F5*G5)*(EXP(-H5^2/2)-EXP(-K5^2/2))/SQRT(2*PI())/(B5*E5*SQRT(G5))</f>
        <v>0.00236620649794971</v>
      </c>
    </row>
    <row r="6" customFormat="false" ht="15" hidden="false" customHeight="false" outlineLevel="0" collapsed="false">
      <c r="A6" s="17" t="n">
        <v>6</v>
      </c>
      <c r="B6" s="29" t="n">
        <f aca="false">Settlement!D10</f>
        <v>75</v>
      </c>
      <c r="C6" s="29" t="n">
        <f aca="false">Settlement!F10</f>
        <v>70</v>
      </c>
      <c r="D6" s="29" t="n">
        <f aca="false">Settlement!G10</f>
        <v>95</v>
      </c>
      <c r="E6" s="30" t="n">
        <f aca="false">Assumptions!$B$9</f>
        <v>2.57861577535857</v>
      </c>
      <c r="F6" s="30" t="n">
        <f aca="false">Assumptions!$B$7</f>
        <v>0.04</v>
      </c>
      <c r="G6" s="31" t="n">
        <f aca="false">Assumptions!$B$8</f>
        <v>0.0833333333333333</v>
      </c>
      <c r="H6" s="32" t="n">
        <f aca="false">(LN(B6/C6)+0.5*E6^2*G6)/(E6*SQRT(G6))</f>
        <v>0.464875862135476</v>
      </c>
      <c r="I6" s="32" t="n">
        <f aca="false">H6-E6*SQRT(G6)</f>
        <v>-0.279506393884467</v>
      </c>
      <c r="J6" s="33" t="n">
        <f aca="false">EXP(-F6*G6)*(C6*NORMSDIST(-I6)-B6*NORMSDIST(-H6))</f>
        <v>18.5672743129868</v>
      </c>
      <c r="K6" s="32" t="n">
        <f aca="false">(LN(B6/D6)+0.5*E6^2*G6)/(E6*SQRT(G6))</f>
        <v>0.0546274352264381</v>
      </c>
      <c r="L6" s="32" t="n">
        <f aca="false">K6-E6*SQRT(G6)</f>
        <v>-0.689754820793505</v>
      </c>
      <c r="M6" s="33" t="n">
        <f aca="false">EXP(-F6*G6)*(B6*NORMSDIST(K6)-D6*NORMSDIST(L6))</f>
        <v>15.7894095036729</v>
      </c>
      <c r="N6" s="34" t="n">
        <f aca="false">J6-M6</f>
        <v>2.77786480931394</v>
      </c>
      <c r="O6" s="35" t="n">
        <f aca="false">Settlement!E10</f>
        <v>40000</v>
      </c>
      <c r="P6" s="22" t="n">
        <f aca="false">N6*O6</f>
        <v>111114.592372558</v>
      </c>
      <c r="Q6" s="19" t="n">
        <v>84.6709</v>
      </c>
      <c r="R6" s="33" t="n">
        <f aca="false">EXP(-F6*G6)*(B6*NORMSDIST((LN(B6/Q6)+0.5*E6^2*G6)/(E6*SQRT(G6)))-Q6*NORMSDIST((LN(B6/Q6)-0.5*E6^2*G6)/(E6*SQRT(G6))))</f>
        <v>18.567288409291</v>
      </c>
      <c r="S6" s="4" t="str">
        <f aca="false">IF(ABS(R6-J6)&lt;0.01,"Matches put","Re-run solver")</f>
        <v>Matches put</v>
      </c>
      <c r="T6" s="36" t="n">
        <f aca="false">EXP(-F6*G6)*((NORMSDIST(H6)-1)-NORMSDIST(K6))</f>
        <v>-0.839987906451095</v>
      </c>
      <c r="U6" s="37" t="n">
        <f aca="false">EXP(-F6*G6)*(EXP(-H6^2/2)-EXP(-K6^2/2))/SQRT(2*PI())/(B6*E6*SQRT(G6))</f>
        <v>0.000802054066599049</v>
      </c>
    </row>
    <row r="7" customFormat="false" ht="15" hidden="false" customHeight="false" outlineLevel="0" collapsed="false">
      <c r="A7" s="17" t="n">
        <v>7</v>
      </c>
      <c r="B7" s="29" t="n">
        <f aca="false">Settlement!D11</f>
        <v>210</v>
      </c>
      <c r="C7" s="29" t="n">
        <f aca="false">Settlement!F11</f>
        <v>200</v>
      </c>
      <c r="D7" s="29" t="n">
        <f aca="false">Settlement!G11</f>
        <v>240</v>
      </c>
      <c r="E7" s="30" t="n">
        <f aca="false">Assumptions!$B$9</f>
        <v>2.57861577535857</v>
      </c>
      <c r="F7" s="30" t="n">
        <f aca="false">Assumptions!$B$7</f>
        <v>0.04</v>
      </c>
      <c r="G7" s="31" t="n">
        <f aca="false">Assumptions!$B$8</f>
        <v>0.0833333333333333</v>
      </c>
      <c r="H7" s="32" t="n">
        <f aca="false">(LN(B7/C7)+0.5*E7^2*G7)/(E7*SQRT(G7))</f>
        <v>0.437735629876933</v>
      </c>
      <c r="I7" s="32" t="n">
        <f aca="false">H7-E7*SQRT(G7)</f>
        <v>-0.30664662614301</v>
      </c>
      <c r="J7" s="33" t="n">
        <f aca="false">EXP(-F7*G7)*(C7*NORMSDIST(-I7)-B7*NORMSDIST(-H7))</f>
        <v>54.4413067265143</v>
      </c>
      <c r="K7" s="32" t="n">
        <f aca="false">(LN(B7/D7)+0.5*E7^2*G7)/(E7*SQRT(G7))</f>
        <v>0.192805615332</v>
      </c>
      <c r="L7" s="32" t="n">
        <f aca="false">K7-E7*SQRT(G7)</f>
        <v>-0.551576640687943</v>
      </c>
      <c r="M7" s="33" t="n">
        <f aca="false">EXP(-F7*G7)*(B7*NORMSDIST(K7)-D7*NORMSDIST(L7))</f>
        <v>51.1339791062896</v>
      </c>
      <c r="N7" s="34" t="n">
        <f aca="false">J7-M7</f>
        <v>3.30732762022468</v>
      </c>
      <c r="O7" s="35" t="n">
        <f aca="false">Settlement!E11</f>
        <v>50000</v>
      </c>
      <c r="P7" s="22" t="n">
        <f aca="false">N7*O7</f>
        <v>165366.381011234</v>
      </c>
      <c r="Q7" s="19" t="n">
        <v>228.9924</v>
      </c>
      <c r="R7" s="33" t="n">
        <f aca="false">EXP(-F7*G7)*(B7*NORMSDIST((LN(B7/Q7)+0.5*E7^2*G7)/(E7*SQRT(G7)))-Q7*NORMSDIST((LN(B7/Q7)-0.5*E7^2*G7)/(E7*SQRT(G7))))</f>
        <v>54.4413069313719</v>
      </c>
      <c r="S7" s="4" t="str">
        <f aca="false">IF(ABS(R7-J7)&lt;0.01,"Matches put","Re-run solver")</f>
        <v>Matches put</v>
      </c>
      <c r="T7" s="36" t="n">
        <f aca="false">EXP(-F7*G7)*((NORMSDIST(H7)-1)-NORMSDIST(K7))</f>
        <v>-0.904214289565002</v>
      </c>
      <c r="U7" s="37" t="n">
        <f aca="false">EXP(-F7*G7)*(EXP(-H7^2/2)-EXP(-K7^2/2))/SQRT(2*PI())/(B7*E7*SQRT(G7))</f>
        <v>0.000208027474079657</v>
      </c>
    </row>
    <row r="9" customFormat="false" ht="15" hidden="false" customHeight="false" outlineLevel="0" collapsed="false">
      <c r="A9" s="26" t="s">
        <v>100</v>
      </c>
    </row>
    <row r="10" customFormat="false" ht="15" hidden="false" customHeight="false" outlineLevel="0" collapsed="false">
      <c r="A10" s="38" t="s">
        <v>101</v>
      </c>
    </row>
    <row r="11" customFormat="false" ht="15" hidden="false" customHeight="false" outlineLevel="0" collapsed="false">
      <c r="A11" s="38" t="s">
        <v>102</v>
      </c>
    </row>
    <row r="12" customFormat="false" ht="15" hidden="false" customHeight="false" outlineLevel="0" collapsed="false">
      <c r="A12" s="38" t="s">
        <v>103</v>
      </c>
    </row>
    <row r="13" customFormat="false" ht="15" hidden="false" customHeight="false" outlineLevel="0" collapsed="false">
      <c r="A13" s="38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0"/>
    <col collapsed="false" customWidth="true" hidden="false" outlineLevel="0" max="18" min="4" style="0" width="13"/>
  </cols>
  <sheetData>
    <row r="1" customFormat="false" ht="17.35" hidden="false" customHeight="false" outlineLevel="0" collapsed="false">
      <c r="A1" s="1" t="s">
        <v>105</v>
      </c>
    </row>
    <row r="2" customFormat="false" ht="15" hidden="false" customHeight="false" outlineLevel="0" collapsed="false">
      <c r="A2" s="2" t="s">
        <v>106</v>
      </c>
    </row>
    <row r="4" customFormat="false" ht="31.5" hidden="false" customHeight="true" outlineLevel="0" collapsed="false">
      <c r="A4" s="3" t="s">
        <v>55</v>
      </c>
      <c r="B4" s="3" t="s">
        <v>107</v>
      </c>
      <c r="C4" s="3" t="s">
        <v>108</v>
      </c>
      <c r="D4" s="3" t="s">
        <v>109</v>
      </c>
      <c r="E4" s="3" t="s">
        <v>110</v>
      </c>
      <c r="F4" s="3" t="s">
        <v>111</v>
      </c>
      <c r="G4" s="3" t="s">
        <v>112</v>
      </c>
      <c r="H4" s="3" t="s">
        <v>113</v>
      </c>
      <c r="I4" s="3" t="s">
        <v>114</v>
      </c>
      <c r="J4" s="3" t="s">
        <v>115</v>
      </c>
      <c r="K4" s="3" t="s">
        <v>116</v>
      </c>
      <c r="L4" s="3" t="s">
        <v>117</v>
      </c>
      <c r="M4" s="3" t="s">
        <v>118</v>
      </c>
      <c r="N4" s="3" t="s">
        <v>119</v>
      </c>
      <c r="O4" s="3" t="s">
        <v>120</v>
      </c>
      <c r="P4" s="3" t="s">
        <v>121</v>
      </c>
      <c r="Q4" s="3" t="s">
        <v>122</v>
      </c>
      <c r="R4" s="3" t="s">
        <v>123</v>
      </c>
    </row>
    <row r="5" customFormat="false" ht="15" hidden="false" customHeight="false" outlineLevel="0" collapsed="false">
      <c r="A5" s="28" t="n">
        <v>1</v>
      </c>
      <c r="B5" s="33" t="n">
        <v>45.25</v>
      </c>
      <c r="C5" s="16" t="n">
        <v>0.744382256019943</v>
      </c>
      <c r="D5" s="39" t="n">
        <v>4.53195048898577</v>
      </c>
      <c r="E5" s="39" t="n">
        <v>4.54816829661924</v>
      </c>
      <c r="F5" s="39" t="n">
        <v>1.19238225160329</v>
      </c>
      <c r="G5" s="39" t="n">
        <v>3.9746075053443</v>
      </c>
      <c r="H5" s="39" t="n">
        <v>1.06815792514293</v>
      </c>
      <c r="I5" s="39" t="n">
        <v>3.56052641714309</v>
      </c>
      <c r="J5" s="27" t="n">
        <f aca="false">IF(I5=0,0,1-H5/I5)</f>
        <v>0.7</v>
      </c>
      <c r="K5" s="39" t="n">
        <v>1.14020006542535</v>
      </c>
      <c r="L5" s="39" t="n">
        <v>3.80066688475117</v>
      </c>
      <c r="M5" s="39" t="n">
        <v>3.21242461654193</v>
      </c>
      <c r="N5" s="39" t="n">
        <v>0.14974872180642</v>
      </c>
      <c r="O5" s="16"/>
      <c r="P5" s="16"/>
      <c r="Q5" s="16"/>
      <c r="R5" s="16"/>
    </row>
    <row r="6" customFormat="false" ht="15" hidden="false" customHeight="false" outlineLevel="0" collapsed="false">
      <c r="A6" s="28" t="n">
        <v>2</v>
      </c>
      <c r="B6" s="33" t="n">
        <v>115</v>
      </c>
      <c r="C6" s="16" t="n">
        <v>0.744382256019943</v>
      </c>
      <c r="D6" s="39" t="n">
        <v>11.5235523015356</v>
      </c>
      <c r="E6" s="39" t="n">
        <v>11.558880753839</v>
      </c>
      <c r="F6" s="39" t="n">
        <v>4.04048497780857</v>
      </c>
      <c r="G6" s="39" t="n">
        <v>10.1012124445214</v>
      </c>
      <c r="H6" s="39" t="n">
        <v>3.61954066715098</v>
      </c>
      <c r="I6" s="39" t="n">
        <v>9.04885166787746</v>
      </c>
      <c r="J6" s="27" t="n">
        <f aca="false">IF(I6=0,0,1-H6/I6)</f>
        <v>0.6</v>
      </c>
      <c r="K6" s="39" t="n">
        <v>3.86366136350395</v>
      </c>
      <c r="L6" s="39" t="n">
        <v>9.65915340875987</v>
      </c>
      <c r="M6" s="39" t="n">
        <v>7.05223074481979</v>
      </c>
      <c r="N6" s="39" t="n">
        <v>0.380576862049465</v>
      </c>
      <c r="O6" s="16" t="n">
        <v>0</v>
      </c>
      <c r="P6" s="16" t="n">
        <v>0.2234</v>
      </c>
      <c r="Q6" s="16" t="n">
        <v>0.1265</v>
      </c>
      <c r="R6" s="16" t="n">
        <v>0.2355</v>
      </c>
    </row>
    <row r="7" customFormat="false" ht="15" hidden="false" customHeight="false" outlineLevel="0" collapsed="false">
      <c r="A7" s="28" t="n">
        <v>3</v>
      </c>
      <c r="B7" s="33" t="n">
        <v>135</v>
      </c>
      <c r="C7" s="16" t="n">
        <v>0.744382256019943</v>
      </c>
      <c r="D7" s="39" t="n">
        <v>13.5207362654824</v>
      </c>
      <c r="E7" s="39" t="n">
        <v>13.5691208849414</v>
      </c>
      <c r="F7" s="39" t="n">
        <v>3.55738351307059</v>
      </c>
      <c r="G7" s="39" t="n">
        <v>11.8579450435686</v>
      </c>
      <c r="H7" s="39" t="n">
        <v>3.18676950042641</v>
      </c>
      <c r="I7" s="39" t="n">
        <v>10.6225650014214</v>
      </c>
      <c r="J7" s="27" t="n">
        <f aca="false">IF(I7=0,0,1-H7/I7)</f>
        <v>0.7</v>
      </c>
      <c r="K7" s="39" t="n">
        <v>3.40170185265021</v>
      </c>
      <c r="L7" s="39" t="n">
        <v>11.3390061755007</v>
      </c>
      <c r="M7" s="39" t="n">
        <v>9.58402924272177</v>
      </c>
      <c r="N7" s="39" t="n">
        <v>0.446764142405894</v>
      </c>
      <c r="O7" s="16" t="n">
        <v>0</v>
      </c>
      <c r="P7" s="16" t="n">
        <v>0.1666</v>
      </c>
      <c r="Q7" s="16" t="n">
        <v>0.215</v>
      </c>
      <c r="R7" s="16" t="n">
        <v>0.3089</v>
      </c>
    </row>
    <row r="8" customFormat="false" ht="15" hidden="false" customHeight="false" outlineLevel="0" collapsed="false">
      <c r="A8" s="28" t="n">
        <v>4</v>
      </c>
      <c r="B8" s="33" t="n">
        <v>85</v>
      </c>
      <c r="C8" s="16" t="n">
        <v>0.744382256019943</v>
      </c>
      <c r="D8" s="39" t="n">
        <v>8.51740822287413</v>
      </c>
      <c r="E8" s="39" t="n">
        <v>8.54352055718531</v>
      </c>
      <c r="F8" s="39" t="n">
        <v>2.98644541838025</v>
      </c>
      <c r="G8" s="39" t="n">
        <v>7.46611354595062</v>
      </c>
      <c r="H8" s="39" t="n">
        <v>2.67531266702464</v>
      </c>
      <c r="I8" s="39" t="n">
        <v>6.6882816675616</v>
      </c>
      <c r="J8" s="27" t="n">
        <f aca="false">IF(I8=0,0,1-H8/I8)</f>
        <v>0.6</v>
      </c>
      <c r="K8" s="39" t="n">
        <v>2.85574970345944</v>
      </c>
      <c r="L8" s="39" t="n">
        <v>7.1393742586486</v>
      </c>
      <c r="M8" s="39" t="n">
        <v>5.21251837660593</v>
      </c>
      <c r="N8" s="39" t="n">
        <v>0.281295941514822</v>
      </c>
      <c r="O8" s="16" t="n">
        <v>0</v>
      </c>
      <c r="P8" s="16" t="n">
        <v>0.2583</v>
      </c>
      <c r="Q8" s="16" t="n">
        <v>0.1317</v>
      </c>
      <c r="R8" s="16" t="n">
        <v>0.2397</v>
      </c>
    </row>
    <row r="9" customFormat="false" ht="15" hidden="false" customHeight="false" outlineLevel="0" collapsed="false">
      <c r="A9" s="28" t="n">
        <v>5</v>
      </c>
      <c r="B9" s="33" t="n">
        <v>56</v>
      </c>
      <c r="C9" s="16" t="n">
        <v>0.744382256019943</v>
      </c>
      <c r="D9" s="39" t="n">
        <v>5.54327791821012</v>
      </c>
      <c r="E9" s="39" t="n">
        <v>5.6286723670868</v>
      </c>
      <c r="F9" s="39" t="n">
        <v>1.18506334951727</v>
      </c>
      <c r="G9" s="39" t="n">
        <v>4.91885127733217</v>
      </c>
      <c r="H9" s="39" t="n">
        <v>1.04105041489374</v>
      </c>
      <c r="I9" s="39" t="n">
        <v>4.40639733392294</v>
      </c>
      <c r="J9" s="27" t="n">
        <f aca="false">IF(I9=0,0,1-H9/I9)</f>
        <v>0.763741139075421</v>
      </c>
      <c r="K9" s="39" t="n">
        <v>1.07076945618888</v>
      </c>
      <c r="L9" s="39" t="n">
        <v>4.70358774687437</v>
      </c>
      <c r="M9" s="39" t="n">
        <v>4.3985324384998</v>
      </c>
      <c r="N9" s="39" t="n">
        <v>0.185324384998001</v>
      </c>
      <c r="O9" s="16" t="n">
        <v>0.0477</v>
      </c>
      <c r="P9" s="16" t="n">
        <v>0.5236</v>
      </c>
      <c r="Q9" s="16" t="n">
        <v>0.0038</v>
      </c>
      <c r="R9" s="16" t="n">
        <v>0.1384</v>
      </c>
    </row>
    <row r="10" customFormat="false" ht="15" hidden="false" customHeight="false" outlineLevel="0" collapsed="false">
      <c r="A10" s="28" t="n">
        <v>6</v>
      </c>
      <c r="B10" s="33" t="n">
        <v>75</v>
      </c>
      <c r="C10" s="16" t="n">
        <v>0.744382256019943</v>
      </c>
      <c r="D10" s="39" t="n">
        <v>7.62362751904067</v>
      </c>
      <c r="E10" s="39" t="n">
        <v>7.5384004916341</v>
      </c>
      <c r="F10" s="39" t="n">
        <v>1.67059548359357</v>
      </c>
      <c r="G10" s="39" t="n">
        <v>6.58774724642701</v>
      </c>
      <c r="H10" s="39" t="n">
        <v>1.49623242087178</v>
      </c>
      <c r="I10" s="39" t="n">
        <v>5.90142500078965</v>
      </c>
      <c r="J10" s="27" t="n">
        <f aca="false">IF(I10=0,0,1-H10/I10)</f>
        <v>0.746462520379134</v>
      </c>
      <c r="K10" s="39" t="n">
        <v>1.57583699576948</v>
      </c>
      <c r="L10" s="39" t="n">
        <v>6.29944787527818</v>
      </c>
      <c r="M10" s="39" t="n">
        <v>5.84964046026732</v>
      </c>
      <c r="N10" s="39" t="n">
        <v>0.248202301336608</v>
      </c>
      <c r="O10" s="16"/>
      <c r="P10" s="16"/>
      <c r="Q10" s="16"/>
      <c r="R10" s="16"/>
    </row>
    <row r="11" customFormat="false" ht="15" hidden="false" customHeight="false" outlineLevel="0" collapsed="false">
      <c r="A11" s="28" t="n">
        <v>7</v>
      </c>
      <c r="B11" s="33" t="n">
        <v>210</v>
      </c>
      <c r="C11" s="16" t="n">
        <v>0.744382256019943</v>
      </c>
      <c r="D11" s="39" t="n">
        <v>21.1967509073651</v>
      </c>
      <c r="E11" s="39" t="n">
        <v>21.1075213765755</v>
      </c>
      <c r="F11" s="39" t="n">
        <v>4.39589775613532</v>
      </c>
      <c r="G11" s="39" t="n">
        <v>18.4456922899956</v>
      </c>
      <c r="H11" s="39" t="n">
        <v>3.98004463249216</v>
      </c>
      <c r="I11" s="39" t="n">
        <v>16.523990002211</v>
      </c>
      <c r="J11" s="27" t="n">
        <f aca="false">IF(I11=0,0,1-H11/I11)</f>
        <v>0.75913537638551</v>
      </c>
      <c r="K11" s="39" t="n">
        <v>4.20293744220574</v>
      </c>
      <c r="L11" s="39" t="n">
        <v>17.6384540507789</v>
      </c>
      <c r="M11" s="39" t="n">
        <v>16.4389932887485</v>
      </c>
      <c r="N11" s="39" t="n">
        <v>0.694966443742502</v>
      </c>
      <c r="O11" s="16" t="n">
        <v>0</v>
      </c>
      <c r="P11" s="16" t="n">
        <v>0.0628</v>
      </c>
      <c r="Q11" s="16" t="n">
        <v>0.4253</v>
      </c>
      <c r="R11" s="16" t="n">
        <v>0.3837</v>
      </c>
    </row>
    <row r="12" customFormat="false" ht="15" hidden="false" customHeight="false" outlineLevel="0" collapsed="false">
      <c r="A12" s="24" t="s">
        <v>124</v>
      </c>
      <c r="D12" s="40" t="n">
        <f aca="false">IFERROR(AVERAGE(D5:D11),"")</f>
        <v>10.3510433747848</v>
      </c>
      <c r="E12" s="40" t="n">
        <f aca="false">IFERROR(AVERAGE(E5:E11),"")</f>
        <v>10.3563263896973</v>
      </c>
      <c r="F12" s="40" t="n">
        <f aca="false">IFERROR(AVERAGE(F5:F11),"")</f>
        <v>2.71832182144412</v>
      </c>
      <c r="G12" s="40" t="n">
        <f aca="false">IFERROR(AVERAGE(G5:G11),"")</f>
        <v>9.0503099075914</v>
      </c>
      <c r="H12" s="40" t="n">
        <f aca="false">IFERROR(AVERAGE(H5:H11),"")</f>
        <v>2.43815831828609</v>
      </c>
      <c r="I12" s="40" t="n">
        <f aca="false">IFERROR(AVERAGE(I5:I11),"")</f>
        <v>8.10743387013244</v>
      </c>
      <c r="J12" s="41" t="n">
        <f aca="false">IFERROR(AVERAGE(J5:J11),"")</f>
        <v>0.695619862262866</v>
      </c>
      <c r="K12" s="40" t="n">
        <f aca="false">IFERROR(AVERAGE(K5:K11),"")</f>
        <v>2.58726526845758</v>
      </c>
      <c r="L12" s="40" t="n">
        <f aca="false">IFERROR(AVERAGE(L5:L11),"")</f>
        <v>8.65424148579883</v>
      </c>
      <c r="M12" s="40" t="n">
        <f aca="false">IFERROR(AVERAGE(M5:M11),"")</f>
        <v>7.39262416688643</v>
      </c>
      <c r="N12" s="40" t="n">
        <f aca="false">IFERROR(AVERAGE(N5:N11),"")</f>
        <v>0.340982685407673</v>
      </c>
      <c r="O12" s="41" t="n">
        <f aca="false">IFERROR(AVERAGE(O5:O11),"")</f>
        <v>0.00954</v>
      </c>
      <c r="P12" s="41" t="n">
        <f aca="false">IFERROR(AVERAGE(P5:P11),"")</f>
        <v>0.24694</v>
      </c>
      <c r="Q12" s="41" t="n">
        <f aca="false">IFERROR(AVERAGE(Q5:Q11),"")</f>
        <v>0.18046</v>
      </c>
      <c r="R12" s="41" t="n">
        <f aca="false">IFERROR(AVERAGE(R5:R11),"")</f>
        <v>0.26124</v>
      </c>
    </row>
    <row r="14" customFormat="false" ht="15" hidden="false" customHeight="false" outlineLevel="0" collapsed="false">
      <c r="A14" s="38" t="s"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9" min="2" style="0" width="11"/>
  </cols>
  <sheetData>
    <row r="1" customFormat="false" ht="17.35" hidden="false" customHeight="false" outlineLevel="0" collapsed="false">
      <c r="A1" s="1" t="s">
        <v>126</v>
      </c>
    </row>
    <row r="2" customFormat="false" ht="15" hidden="false" customHeight="false" outlineLevel="0" collapsed="false">
      <c r="A2" s="2" t="s">
        <v>127</v>
      </c>
    </row>
    <row r="4" customFormat="false" ht="15" hidden="false" customHeight="false" outlineLevel="0" collapsed="false">
      <c r="A4" s="10" t="s">
        <v>128</v>
      </c>
    </row>
    <row r="5" customFormat="false" ht="31.5" hidden="false" customHeight="true" outlineLevel="0" collapsed="false">
      <c r="A5" s="3" t="s">
        <v>108</v>
      </c>
      <c r="B5" s="3" t="s">
        <v>129</v>
      </c>
      <c r="C5" s="3" t="s">
        <v>130</v>
      </c>
      <c r="D5" s="3" t="s">
        <v>131</v>
      </c>
      <c r="E5" s="3" t="s">
        <v>132</v>
      </c>
      <c r="F5" s="3" t="s">
        <v>133</v>
      </c>
      <c r="G5" s="3" t="s">
        <v>134</v>
      </c>
      <c r="H5" s="3" t="s">
        <v>135</v>
      </c>
    </row>
    <row r="6" customFormat="false" ht="15" hidden="false" customHeight="false" outlineLevel="0" collapsed="false">
      <c r="A6" s="14" t="n">
        <v>0.2</v>
      </c>
      <c r="B6" s="16" t="n">
        <v>0.7</v>
      </c>
      <c r="C6" s="16" t="n">
        <v>0.6</v>
      </c>
      <c r="D6" s="16" t="n">
        <v>0.7</v>
      </c>
      <c r="E6" s="16" t="n">
        <v>0.6</v>
      </c>
      <c r="F6" s="16" t="n">
        <v>0.493787421755369</v>
      </c>
      <c r="G6" s="16" t="n">
        <v>0.662733254689617</v>
      </c>
      <c r="H6" s="16" t="n">
        <v>0.678735595079946</v>
      </c>
    </row>
    <row r="7" customFormat="false" ht="15" hidden="false" customHeight="false" outlineLevel="0" collapsed="false">
      <c r="A7" s="14" t="n">
        <v>0.35</v>
      </c>
      <c r="B7" s="16" t="n">
        <v>0.7</v>
      </c>
      <c r="C7" s="16" t="n">
        <v>0.6</v>
      </c>
      <c r="D7" s="16" t="n">
        <v>0.7</v>
      </c>
      <c r="E7" s="16" t="n">
        <v>0.6</v>
      </c>
      <c r="F7" s="16" t="n">
        <v>0.644656143242086</v>
      </c>
      <c r="G7" s="16" t="n">
        <v>0.705027143591775</v>
      </c>
      <c r="H7" s="16" t="n">
        <v>0.722912302319386</v>
      </c>
    </row>
    <row r="8" customFormat="false" ht="15" hidden="false" customHeight="false" outlineLevel="0" collapsed="false">
      <c r="A8" s="14" t="n">
        <v>0.5</v>
      </c>
      <c r="B8" s="16" t="n">
        <v>0.7</v>
      </c>
      <c r="C8" s="16" t="n">
        <v>0.6</v>
      </c>
      <c r="D8" s="16" t="n">
        <v>0.7</v>
      </c>
      <c r="E8" s="16" t="n">
        <v>0.6</v>
      </c>
      <c r="F8" s="16" t="n">
        <v>0.709980198572282</v>
      </c>
      <c r="G8" s="16" t="n">
        <v>0.727072802108068</v>
      </c>
      <c r="H8" s="16" t="n">
        <v>0.742884497971765</v>
      </c>
    </row>
    <row r="9" customFormat="false" ht="15" hidden="false" customHeight="false" outlineLevel="0" collapsed="false">
      <c r="A9" s="14" t="n">
        <v>0.65</v>
      </c>
      <c r="B9" s="16" t="n">
        <v>0.7</v>
      </c>
      <c r="C9" s="16" t="n">
        <v>0.6</v>
      </c>
      <c r="D9" s="16" t="n">
        <v>0.7</v>
      </c>
      <c r="E9" s="16" t="n">
        <v>0.6</v>
      </c>
      <c r="F9" s="16" t="n">
        <v>0.747247454629503</v>
      </c>
      <c r="G9" s="16" t="n">
        <v>0.740433013779474</v>
      </c>
      <c r="H9" s="16" t="n">
        <v>0.754184577589486</v>
      </c>
    </row>
    <row r="10" customFormat="false" ht="15" hidden="false" customHeight="false" outlineLevel="0" collapsed="false">
      <c r="A10" s="14" t="n">
        <v>0.8</v>
      </c>
      <c r="B10" s="16" t="n">
        <v>0.7</v>
      </c>
      <c r="C10" s="16" t="n">
        <v>0.6</v>
      </c>
      <c r="D10" s="16" t="n">
        <v>0.7</v>
      </c>
      <c r="E10" s="16" t="n">
        <v>0.6</v>
      </c>
      <c r="F10" s="16" t="n">
        <v>0.771818880922079</v>
      </c>
      <c r="G10" s="16" t="n">
        <v>0.749455174895569</v>
      </c>
      <c r="H10" s="16" t="n">
        <v>0.761554522305079</v>
      </c>
    </row>
    <row r="11" customFormat="false" ht="15" hidden="false" customHeight="false" outlineLevel="0" collapsed="false">
      <c r="A11" s="14" t="n">
        <v>0.95</v>
      </c>
      <c r="B11" s="16" t="n">
        <v>0.7</v>
      </c>
      <c r="C11" s="16" t="n">
        <v>0.6</v>
      </c>
      <c r="D11" s="16" t="n">
        <v>0.7</v>
      </c>
      <c r="E11" s="16" t="n">
        <v>0.6</v>
      </c>
      <c r="F11" s="16" t="n">
        <v>0.789399718755523</v>
      </c>
      <c r="G11" s="16" t="n">
        <v>0.756059102887989</v>
      </c>
      <c r="H11" s="16" t="n">
        <v>0.766827660209647</v>
      </c>
    </row>
    <row r="14" customFormat="false" ht="15" hidden="false" customHeight="false" outlineLevel="0" collapsed="false">
      <c r="A14" s="10" t="s">
        <v>136</v>
      </c>
    </row>
    <row r="15" customFormat="false" ht="31.5" hidden="false" customHeight="true" outlineLevel="0" collapsed="false">
      <c r="A15" s="3" t="s">
        <v>108</v>
      </c>
      <c r="B15" s="3" t="s">
        <v>130</v>
      </c>
      <c r="C15" s="3" t="s">
        <v>131</v>
      </c>
      <c r="D15" s="3" t="s">
        <v>132</v>
      </c>
      <c r="E15" s="3" t="s">
        <v>133</v>
      </c>
      <c r="F15" s="3" t="s">
        <v>135</v>
      </c>
    </row>
    <row r="16" customFormat="false" ht="15" hidden="false" customHeight="false" outlineLevel="0" collapsed="false">
      <c r="A16" s="14" t="n">
        <v>0.2</v>
      </c>
      <c r="B16" s="42" t="n">
        <v>-0.0745</v>
      </c>
      <c r="C16" s="42" t="n">
        <v>-0.2239</v>
      </c>
      <c r="D16" s="42" t="n">
        <v>-0.0797</v>
      </c>
      <c r="E16" s="42" t="n">
        <v>-0.0041</v>
      </c>
      <c r="F16" s="42" t="n">
        <v>0.1416</v>
      </c>
    </row>
    <row r="17" customFormat="false" ht="15" hidden="false" customHeight="false" outlineLevel="0" collapsed="false">
      <c r="A17" s="14" t="n">
        <v>0.35</v>
      </c>
      <c r="B17" s="42" t="n">
        <v>-0.1424</v>
      </c>
      <c r="C17" s="42" t="n">
        <v>-0.1826</v>
      </c>
      <c r="D17" s="42" t="n">
        <v>-0.1422</v>
      </c>
      <c r="E17" s="42" t="n">
        <v>-0.0451</v>
      </c>
      <c r="F17" s="42" t="n">
        <v>0.083</v>
      </c>
    </row>
    <row r="18" customFormat="false" ht="15" hidden="false" customHeight="false" outlineLevel="0" collapsed="false">
      <c r="A18" s="14" t="n">
        <v>0.5</v>
      </c>
      <c r="B18" s="42" t="n">
        <v>-0.1354</v>
      </c>
      <c r="C18" s="42" t="n">
        <v>-0.1381</v>
      </c>
      <c r="D18" s="42" t="n">
        <v>-0.1359</v>
      </c>
      <c r="E18" s="42" t="n">
        <v>-0.094</v>
      </c>
      <c r="F18" s="42" t="n">
        <v>0.0646</v>
      </c>
    </row>
    <row r="19" customFormat="false" ht="15" hidden="false" customHeight="false" outlineLevel="0" collapsed="false">
      <c r="A19" s="14" t="n">
        <v>0.65</v>
      </c>
      <c r="B19" s="42" t="n">
        <v>-0.1197</v>
      </c>
      <c r="C19" s="42" t="n">
        <v>-0.109</v>
      </c>
      <c r="D19" s="42" t="n">
        <v>-0.1197</v>
      </c>
      <c r="E19" s="42" t="n">
        <v>-0.1235</v>
      </c>
      <c r="F19" s="42" t="n">
        <v>0.0483</v>
      </c>
    </row>
    <row r="20" customFormat="false" ht="15" hidden="false" customHeight="false" outlineLevel="0" collapsed="false">
      <c r="A20" s="14" t="n">
        <v>0.8</v>
      </c>
      <c r="B20" s="42" t="n">
        <v>-0.1021</v>
      </c>
      <c r="C20" s="42" t="n">
        <v>-0.0865</v>
      </c>
      <c r="D20" s="42" t="n">
        <v>-0.1009</v>
      </c>
      <c r="E20" s="42" t="n">
        <v>-0.1382</v>
      </c>
      <c r="F20" s="42" t="n">
        <v>0.0383</v>
      </c>
    </row>
    <row r="21" customFormat="false" ht="15" hidden="false" customHeight="false" outlineLevel="0" collapsed="false">
      <c r="A21" s="14" t="n">
        <v>0.95</v>
      </c>
      <c r="B21" s="42" t="n">
        <v>-0.0865</v>
      </c>
      <c r="C21" s="42" t="n">
        <v>-0.0718</v>
      </c>
      <c r="D21" s="42" t="n">
        <v>-0.0847</v>
      </c>
      <c r="E21" s="42" t="n">
        <v>-0.1425</v>
      </c>
      <c r="F21" s="42" t="n">
        <v>0.0299</v>
      </c>
    </row>
    <row r="24" customFormat="false" ht="15" hidden="false" customHeight="false" outlineLevel="0" collapsed="false">
      <c r="A24" s="10" t="s">
        <v>137</v>
      </c>
    </row>
    <row r="25" customFormat="false" ht="31.5" hidden="false" customHeight="true" outlineLevel="0" collapsed="false">
      <c r="A25" s="3" t="s">
        <v>108</v>
      </c>
      <c r="B25" s="3" t="s">
        <v>130</v>
      </c>
      <c r="C25" s="3" t="s">
        <v>131</v>
      </c>
      <c r="D25" s="3" t="s">
        <v>132</v>
      </c>
      <c r="E25" s="3" t="s">
        <v>133</v>
      </c>
      <c r="F25" s="3" t="s">
        <v>135</v>
      </c>
    </row>
    <row r="26" customFormat="false" ht="15" hidden="false" customHeight="false" outlineLevel="0" collapsed="false">
      <c r="A26" s="14" t="n">
        <v>0.2</v>
      </c>
      <c r="B26" s="42" t="n">
        <v>0.0001</v>
      </c>
      <c r="C26" s="42" t="n">
        <v>0</v>
      </c>
      <c r="D26" s="42" t="n">
        <v>0.0002</v>
      </c>
      <c r="E26" s="42" t="n">
        <v>0.1595</v>
      </c>
      <c r="F26" s="42" t="n">
        <v>0</v>
      </c>
    </row>
    <row r="27" customFormat="false" ht="15" hidden="false" customHeight="false" outlineLevel="0" collapsed="false">
      <c r="A27" s="14" t="n">
        <v>0.35</v>
      </c>
      <c r="B27" s="42" t="n">
        <v>0.0148</v>
      </c>
      <c r="C27" s="42" t="n">
        <v>0.0042</v>
      </c>
      <c r="D27" s="42" t="n">
        <v>0.0256</v>
      </c>
      <c r="E27" s="42" t="n">
        <v>0.3259</v>
      </c>
      <c r="F27" s="42" t="n">
        <v>0.0001</v>
      </c>
    </row>
    <row r="28" customFormat="false" ht="15" hidden="false" customHeight="false" outlineLevel="0" collapsed="false">
      <c r="A28" s="14" t="n">
        <v>0.5</v>
      </c>
      <c r="B28" s="42" t="n">
        <v>0.0817</v>
      </c>
      <c r="C28" s="42" t="n">
        <v>0.044</v>
      </c>
      <c r="D28" s="42" t="n">
        <v>0.105</v>
      </c>
      <c r="E28" s="42" t="n">
        <v>0.4198</v>
      </c>
      <c r="F28" s="42" t="n">
        <v>0.005</v>
      </c>
    </row>
    <row r="29" customFormat="false" ht="15" hidden="false" customHeight="false" outlineLevel="0" collapsed="false">
      <c r="A29" s="14" t="n">
        <v>0.65</v>
      </c>
      <c r="B29" s="42" t="n">
        <v>0.1683</v>
      </c>
      <c r="C29" s="42" t="n">
        <v>0.1146</v>
      </c>
      <c r="D29" s="42" t="n">
        <v>0.1982</v>
      </c>
      <c r="E29" s="42" t="n">
        <v>0.467</v>
      </c>
      <c r="F29" s="42" t="n">
        <v>0.0317</v>
      </c>
    </row>
    <row r="30" customFormat="false" ht="15" hidden="false" customHeight="false" outlineLevel="0" collapsed="false">
      <c r="A30" s="14" t="n">
        <v>0.8</v>
      </c>
      <c r="B30" s="42" t="n">
        <v>0.258</v>
      </c>
      <c r="C30" s="42" t="n">
        <v>0.1969</v>
      </c>
      <c r="D30" s="42" t="n">
        <v>0.2928</v>
      </c>
      <c r="E30" s="42" t="n">
        <v>0.4788</v>
      </c>
      <c r="F30" s="42" t="n">
        <v>0.0849</v>
      </c>
    </row>
    <row r="31" customFormat="false" ht="15" hidden="false" customHeight="false" outlineLevel="0" collapsed="false">
      <c r="A31" s="14" t="n">
        <v>0.95</v>
      </c>
      <c r="B31" s="42" t="n">
        <v>0.3427</v>
      </c>
      <c r="C31" s="42" t="n">
        <v>0.2834</v>
      </c>
      <c r="D31" s="42" t="n">
        <v>0.3722</v>
      </c>
      <c r="E31" s="42" t="n">
        <v>0.4669</v>
      </c>
      <c r="F31" s="42" t="n">
        <v>0.1511</v>
      </c>
    </row>
    <row r="34" customFormat="false" ht="15" hidden="false" customHeight="false" outlineLevel="0" collapsed="false">
      <c r="A34" s="38" t="s">
        <v>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2026-10-23T21:09:46Z</dcterms:created>
  <dc:creator>openpyxl</dc:creator>
  <dc:description/>
  <dc:language>en-US</dc:language>
  <cp:lastModifiedBy/>
  <dcterms:modified xsi:type="dcterms:W3CDTF">2026-10-23T21:09:46Z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